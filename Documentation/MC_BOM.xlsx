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ort\Documents\Driven\New PCB\Neo-V2\MotorController\"/>
    </mc:Choice>
  </mc:AlternateContent>
  <xr:revisionPtr revIDLastSave="0" documentId="13_ncr:9_{FABB8F9C-77EB-40EB-B303-749180665397}" xr6:coauthVersionLast="47" xr6:coauthVersionMax="47" xr10:uidLastSave="{00000000-0000-0000-0000-000000000000}"/>
  <bookViews>
    <workbookView xWindow="-108" yWindow="-108" windowWidth="23256" windowHeight="12576" xr2:uid="{2DB83264-D594-443D-8929-0673722E0752}"/>
  </bookViews>
  <sheets>
    <sheet name="MC" sheetId="1" r:id="rId1"/>
  </sheets>
  <calcPr calcId="0"/>
</workbook>
</file>

<file path=xl/calcChain.xml><?xml version="1.0" encoding="utf-8"?>
<calcChain xmlns="http://schemas.openxmlformats.org/spreadsheetml/2006/main">
  <c r="H32" i="1" l="1"/>
  <c r="H33" i="1"/>
  <c r="G30" i="1"/>
  <c r="G28" i="1"/>
  <c r="H28" i="1" s="1"/>
  <c r="G26" i="1"/>
  <c r="H26" i="1" s="1"/>
  <c r="G21" i="1"/>
  <c r="H21" i="1" s="1"/>
  <c r="G15" i="1"/>
  <c r="H15" i="1" s="1"/>
  <c r="G14" i="1"/>
  <c r="H14" i="1" s="1"/>
  <c r="G12" i="1"/>
  <c r="H12" i="1" s="1"/>
  <c r="G11" i="1"/>
  <c r="G10" i="1"/>
  <c r="H23" i="1"/>
  <c r="H24" i="1"/>
  <c r="H25" i="1"/>
  <c r="H27" i="1"/>
  <c r="H29" i="1"/>
  <c r="H30" i="1"/>
  <c r="H31" i="1"/>
  <c r="H3" i="1"/>
  <c r="H4" i="1"/>
  <c r="H5" i="1"/>
  <c r="H6" i="1"/>
  <c r="H7" i="1"/>
  <c r="H8" i="1"/>
  <c r="H9" i="1"/>
  <c r="H10" i="1"/>
  <c r="H11" i="1"/>
  <c r="H13" i="1"/>
  <c r="H16" i="1"/>
  <c r="H17" i="1"/>
  <c r="H18" i="1"/>
  <c r="H19" i="1"/>
  <c r="H20" i="1"/>
  <c r="H22" i="1"/>
  <c r="H2" i="1"/>
</calcChain>
</file>

<file path=xl/sharedStrings.xml><?xml version="1.0" encoding="utf-8"?>
<sst xmlns="http://schemas.openxmlformats.org/spreadsheetml/2006/main" count="162" uniqueCount="104">
  <si>
    <t>Reference</t>
  </si>
  <si>
    <t>Qty</t>
  </si>
  <si>
    <t>Value</t>
  </si>
  <si>
    <t>Footprint</t>
  </si>
  <si>
    <t>Datasheet</t>
  </si>
  <si>
    <t>C1,C2,C7,C8,C9,C12,C15,C21,C22</t>
  </si>
  <si>
    <t>100n</t>
  </si>
  <si>
    <t>Capacitor_SMD:C_0603_1608Metric_Pad1.08x0.95mm_HandSolder</t>
  </si>
  <si>
    <t>~</t>
  </si>
  <si>
    <t>C3,C4</t>
  </si>
  <si>
    <t>33p</t>
  </si>
  <si>
    <t>C5,C11,C18</t>
  </si>
  <si>
    <t>1u</t>
  </si>
  <si>
    <t>Capacitor_SMD:C_1206_3216Metric</t>
  </si>
  <si>
    <t>C6</t>
  </si>
  <si>
    <t>2200p</t>
  </si>
  <si>
    <t>C10</t>
  </si>
  <si>
    <t>10u</t>
  </si>
  <si>
    <t>Capacitor_SMD:C_1206_3216Metric_Pad1.33x1.80mm_HandSolder</t>
  </si>
  <si>
    <t>C13</t>
  </si>
  <si>
    <t>2u2</t>
  </si>
  <si>
    <t>C14</t>
  </si>
  <si>
    <t>C16,C17</t>
  </si>
  <si>
    <t>470uF</t>
  </si>
  <si>
    <t>Capacitor_SMD:CP_Elec_18x22</t>
  </si>
  <si>
    <t>C19</t>
  </si>
  <si>
    <t>10uF</t>
  </si>
  <si>
    <t>Capacitor_SMD:CP_Elec_6.3x5.8</t>
  </si>
  <si>
    <t>C20</t>
  </si>
  <si>
    <t>1uF</t>
  </si>
  <si>
    <t>Capacitor_SMD:CP_Elec_4x5.8</t>
  </si>
  <si>
    <t>D1,D2,D3,D4,D5,D11,D12</t>
  </si>
  <si>
    <t>LED</t>
  </si>
  <si>
    <t>LED_SMD:LED_0603_1608Metric</t>
  </si>
  <si>
    <t>D6</t>
  </si>
  <si>
    <t>C3D04065E</t>
  </si>
  <si>
    <t>Package_TO_SOT_SMD:TO-252-2_TabPin1</t>
  </si>
  <si>
    <t>https://www.wolfspeed.com/media/downloads/124/C3D04065E.pdf</t>
  </si>
  <si>
    <t>D7,D8</t>
  </si>
  <si>
    <t>V8PAL45HM3</t>
  </si>
  <si>
    <t>Diode_SMD:Vishay_SMPA</t>
  </si>
  <si>
    <t>https://docs.rs-online.com/6f61/0900766b8133de80.pdf</t>
  </si>
  <si>
    <t>D9,D10</t>
  </si>
  <si>
    <t>NRVBS3100T3G</t>
  </si>
  <si>
    <t>Diode_SMD:D_SMB-SMC_Universal_Handsoldering</t>
  </si>
  <si>
    <t>https://docs.rs-online.com/6b4b/0900766b812212e2.pdf</t>
  </si>
  <si>
    <t>J1</t>
  </si>
  <si>
    <t>Conn_01x08_Socket</t>
  </si>
  <si>
    <t>43045-0806:43045-08YY_060708_1</t>
  </si>
  <si>
    <t>J2,J3,J4,J5</t>
  </si>
  <si>
    <t>Conn_01x01_Pin</t>
  </si>
  <si>
    <t>7461099:7461098</t>
  </si>
  <si>
    <t>Q1,Q2</t>
  </si>
  <si>
    <t>IXFK120N20P</t>
  </si>
  <si>
    <t>Package_TO_SOT_THT:TO-220-3_Horizontal_TabUp</t>
  </si>
  <si>
    <t>http://www.irf.com/product-info/datasheets/data/irlz44n.pdf</t>
  </si>
  <si>
    <t>Q3,Q4</t>
  </si>
  <si>
    <t>IXFH120N20P</t>
  </si>
  <si>
    <t>4k7</t>
  </si>
  <si>
    <t>Resistor_SMD:R_0603_1608Metric_Pad0.98x0.95mm_HandSolder</t>
  </si>
  <si>
    <t>R3,R4,R5</t>
  </si>
  <si>
    <t>1K</t>
  </si>
  <si>
    <t>R6,R7,R8,R9,R10,R26,R29</t>
  </si>
  <si>
    <t>22k</t>
  </si>
  <si>
    <t>R11,R12</t>
  </si>
  <si>
    <t>51R</t>
  </si>
  <si>
    <t>R16,R22,R23</t>
  </si>
  <si>
    <t>10K</t>
  </si>
  <si>
    <t>R17</t>
  </si>
  <si>
    <t>2R2</t>
  </si>
  <si>
    <t>R18,R19,R20,R21</t>
  </si>
  <si>
    <t>8R2</t>
  </si>
  <si>
    <t>U1</t>
  </si>
  <si>
    <t>ACSL-6400-50TE</t>
  </si>
  <si>
    <t>ACSL-6400:SOIC127P599X172-16N</t>
  </si>
  <si>
    <t>U2,U3</t>
  </si>
  <si>
    <t>LM75B</t>
  </si>
  <si>
    <t>Package_SO:SOIC-8_3.9x4.9mm_P1.27mm</t>
  </si>
  <si>
    <t>http://www.ti.com/lit/ds/symlink/lm75b.pdf</t>
  </si>
  <si>
    <t>U4</t>
  </si>
  <si>
    <t>UCC21520ADW</t>
  </si>
  <si>
    <t>Package_SO:SOIC-16W_7.5x10.3mm_P1.27mm</t>
  </si>
  <si>
    <t>http://www.ti.com/lit/ds/symlink/ucc21520.pdf</t>
  </si>
  <si>
    <t>U5</t>
  </si>
  <si>
    <t>UA78M05IDCY</t>
  </si>
  <si>
    <t>Package_TO_SOT_SMD:SOT-223-3_TabPin2</t>
  </si>
  <si>
    <t>https://www.ti.com/lit/gpn/UA78M-Q1</t>
  </si>
  <si>
    <t>U6</t>
  </si>
  <si>
    <t>TSR_1-24120</t>
  </si>
  <si>
    <t>Converter_DCDC:Converter_DCDC_TRACO_TSR-1_THT</t>
  </si>
  <si>
    <t>http://www.tracopower.com/products/tsr1.pdf</t>
  </si>
  <si>
    <t>Vendor</t>
  </si>
  <si>
    <t>RS Components</t>
  </si>
  <si>
    <t>Price (Per Component)</t>
  </si>
  <si>
    <t>Price (Total)</t>
  </si>
  <si>
    <t>Mouser</t>
  </si>
  <si>
    <t>Already Purchased</t>
  </si>
  <si>
    <t>R1,R2,R13,R14,R15,R27,R28</t>
  </si>
  <si>
    <t>Resistor_SMD:R_2512_5025Metric_Pad1.40x2.65mm_HandSolder</t>
  </si>
  <si>
    <t>Total</t>
  </si>
  <si>
    <t xml:space="preserve">PCB </t>
  </si>
  <si>
    <t>JLCPCB 5x</t>
  </si>
  <si>
    <t>2oz Copper, 4 layer board.</t>
  </si>
  <si>
    <t>JLCPCB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</si>
</sst>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&quot;£&quot;#,##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0" fontId="0" fillId="0" borderId="0" xfId="0" applyAlignment="1">
      <alignment wrapText="1"/>
    </xf>
    <xf numFmtId="164" fontId="0" fillId="0" borderId="0" xfId="0" applyNumberFormat="1"/>
    <xf numFmtId="8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.rs-online.com/web/p/aluminium-capacitors/7083737?gb=s" TargetMode="External"/><Relationship Id="rId13" Type="http://schemas.openxmlformats.org/officeDocument/2006/relationships/hyperlink" Target="https://uk.rs-online.com/web/p/schottky-diodes-rectifiers/8306211P?gb=s" TargetMode="External"/><Relationship Id="rId18" Type="http://schemas.openxmlformats.org/officeDocument/2006/relationships/hyperlink" Target="https://uk.rs-online.com/web/p/surface-mount-resistors/1995479?gb=s" TargetMode="External"/><Relationship Id="rId26" Type="http://schemas.openxmlformats.org/officeDocument/2006/relationships/hyperlink" Target="https://www.mouser.co.uk/ProductDetail/Texas-Instruments/UCC21520ADWR?qs=%2FP2Ij7fVdhFF4LbWbpIJ1w%3D%3D" TargetMode="External"/><Relationship Id="rId3" Type="http://schemas.openxmlformats.org/officeDocument/2006/relationships/hyperlink" Target="https://uk.rs-online.com/web/p/mlccs-multilayer-ceramic-capacitors/6480733?gb=s" TargetMode="External"/><Relationship Id="rId21" Type="http://schemas.openxmlformats.org/officeDocument/2006/relationships/hyperlink" Target="https://uk.rs-online.com/web/p/surface-mount-resistors/2413294?gb=s" TargetMode="External"/><Relationship Id="rId7" Type="http://schemas.openxmlformats.org/officeDocument/2006/relationships/hyperlink" Target="https://uk.rs-online.com/web/p/mlccs-multilayer-ceramic-capacitors/9155799?gb=s" TargetMode="External"/><Relationship Id="rId12" Type="http://schemas.openxmlformats.org/officeDocument/2006/relationships/hyperlink" Target="https://www.mouser.co.uk/ProductDetail/Wolfspeed/C3D04065E?qs=hPK38Qhkn9UoTiWADRClGQ%3D%3D" TargetMode="External"/><Relationship Id="rId17" Type="http://schemas.openxmlformats.org/officeDocument/2006/relationships/hyperlink" Target="https://uk.rs-online.com/web/p/surface-mount-resistors/2284870?gb=s" TargetMode="External"/><Relationship Id="rId25" Type="http://schemas.openxmlformats.org/officeDocument/2006/relationships/hyperlink" Target="https://uk.rs-online.com/web/p/temperature-humidity-sensor-ics/1962011?gb=s" TargetMode="External"/><Relationship Id="rId2" Type="http://schemas.openxmlformats.org/officeDocument/2006/relationships/hyperlink" Target="https://uk.rs-online.com/web/p/mlccs-multilayer-ceramic-capacitors/1356551?gb=s" TargetMode="External"/><Relationship Id="rId16" Type="http://schemas.openxmlformats.org/officeDocument/2006/relationships/hyperlink" Target="https://www.mouser.co.uk/ProductDetail/Molex/43045-0806?qs=MGlPTwjtJ4aUv0CnPCSCgA%3D%3D" TargetMode="External"/><Relationship Id="rId20" Type="http://schemas.openxmlformats.org/officeDocument/2006/relationships/hyperlink" Target="https://www.mouser.co.uk/ProductDetail/YAGEO/AR0603JR-0751RL?qs=sGAEpiMZZMtlubZbdhIBINhe0vL5TjR%2FSonqSMAef%252Bs%3D" TargetMode="External"/><Relationship Id="rId1" Type="http://schemas.openxmlformats.org/officeDocument/2006/relationships/hyperlink" Target="https://uk.rs-online.com/web/p/mlccs-multilayer-ceramic-capacitors/2477743?gb=s" TargetMode="External"/><Relationship Id="rId6" Type="http://schemas.openxmlformats.org/officeDocument/2006/relationships/hyperlink" Target="https://uk.rs-online.com/web/p/mlccs-multilayer-ceramic-capacitors/6911215P?gb=s" TargetMode="External"/><Relationship Id="rId11" Type="http://schemas.openxmlformats.org/officeDocument/2006/relationships/hyperlink" Target="https://uk.rs-online.com/web/p/leds/2790665?gb=s" TargetMode="External"/><Relationship Id="rId24" Type="http://schemas.openxmlformats.org/officeDocument/2006/relationships/hyperlink" Target="https://uk.rs-online.com/web/p/optocouplers/2305323?gb=s" TargetMode="External"/><Relationship Id="rId5" Type="http://schemas.openxmlformats.org/officeDocument/2006/relationships/hyperlink" Target="https://uk.rs-online.com/web/p/mlccs-multilayer-ceramic-capacitors/2608849?gb=s" TargetMode="External"/><Relationship Id="rId15" Type="http://schemas.openxmlformats.org/officeDocument/2006/relationships/hyperlink" Target="https://uk.rs-online.com/web/p/screw-terminals/1224992?gb=s" TargetMode="External"/><Relationship Id="rId23" Type="http://schemas.openxmlformats.org/officeDocument/2006/relationships/hyperlink" Target="https://uk.rs-online.com/web/p/surface-mount-resistors/8711048?gb=s" TargetMode="External"/><Relationship Id="rId28" Type="http://schemas.openxmlformats.org/officeDocument/2006/relationships/hyperlink" Target="https://uk.rs-online.com/web/p/switching-regulators/6664385?gb=s" TargetMode="External"/><Relationship Id="rId10" Type="http://schemas.openxmlformats.org/officeDocument/2006/relationships/hyperlink" Target="https://uk.rs-online.com/web/p/aluminium-capacitors/5370815?gb=s" TargetMode="External"/><Relationship Id="rId19" Type="http://schemas.openxmlformats.org/officeDocument/2006/relationships/hyperlink" Target="https://uk.rs-online.com/web/p/surface-mount-resistors/2284828?gb=s" TargetMode="External"/><Relationship Id="rId4" Type="http://schemas.openxmlformats.org/officeDocument/2006/relationships/hyperlink" Target="https://uk.rs-online.com/web/p/mlccs-multilayer-ceramic-capacitors/2477850?gb=s" TargetMode="External"/><Relationship Id="rId9" Type="http://schemas.openxmlformats.org/officeDocument/2006/relationships/hyperlink" Target="https://uk.rs-online.com/web/p/aluminium-capacitors/5370809?gb=s" TargetMode="External"/><Relationship Id="rId14" Type="http://schemas.openxmlformats.org/officeDocument/2006/relationships/hyperlink" Target="https://uk.rs-online.com/web/p/schottky-diodes-rectifiers/7811131?gb=s" TargetMode="External"/><Relationship Id="rId22" Type="http://schemas.openxmlformats.org/officeDocument/2006/relationships/hyperlink" Target="https://www.mouser.co.uk/ProductDetail/TE-Connectivity-Holsworthy/CRGS0603J2R2?qs=Rv6LVDxB0ZovhCH4%252BjHl0w%3D%3D" TargetMode="External"/><Relationship Id="rId27" Type="http://schemas.openxmlformats.org/officeDocument/2006/relationships/hyperlink" Target="https://uk.rs-online.com/web/p/voltage-regulators/6616730?gb=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2502-F650-44F1-9772-4C667F68D664}">
  <dimension ref="A1:H34"/>
  <sheetViews>
    <sheetView tabSelected="1" topLeftCell="A22" workbookViewId="0">
      <selection activeCell="H33" sqref="H33"/>
    </sheetView>
  </sheetViews>
  <sheetFormatPr defaultRowHeight="14.4" x14ac:dyDescent="0.3"/>
  <cols>
    <col min="1" max="1" width="16" style="2" customWidth="1"/>
    <col min="3" max="3" width="18.109375" customWidth="1"/>
    <col min="4" max="4" width="56.33203125" customWidth="1"/>
    <col min="5" max="5" width="57.33203125" customWidth="1"/>
    <col min="6" max="6" width="14.6640625" customWidth="1"/>
    <col min="7" max="7" width="10.6640625" customWidth="1"/>
  </cols>
  <sheetData>
    <row r="1" spans="1:8" ht="43.2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91</v>
      </c>
      <c r="G1" s="2" t="s">
        <v>93</v>
      </c>
      <c r="H1" s="2" t="s">
        <v>94</v>
      </c>
    </row>
    <row r="2" spans="1:8" ht="28.8" x14ac:dyDescent="0.3">
      <c r="A2" s="2" t="s">
        <v>5</v>
      </c>
      <c r="B2">
        <v>9</v>
      </c>
      <c r="C2" t="s">
        <v>6</v>
      </c>
      <c r="D2" t="s">
        <v>7</v>
      </c>
      <c r="E2" t="s">
        <v>8</v>
      </c>
      <c r="F2" s="1" t="s">
        <v>92</v>
      </c>
      <c r="G2" s="3">
        <v>9.1999999999999998E-2</v>
      </c>
      <c r="H2" s="3">
        <f>G2*B2</f>
        <v>0.82799999999999996</v>
      </c>
    </row>
    <row r="3" spans="1:8" x14ac:dyDescent="0.3">
      <c r="A3" s="2" t="s">
        <v>9</v>
      </c>
      <c r="B3">
        <v>2</v>
      </c>
      <c r="C3" t="s">
        <v>10</v>
      </c>
      <c r="D3" t="s">
        <v>7</v>
      </c>
      <c r="E3" t="s">
        <v>8</v>
      </c>
      <c r="F3" s="1" t="s">
        <v>92</v>
      </c>
      <c r="G3" s="3">
        <v>7.9000000000000001E-2</v>
      </c>
      <c r="H3" s="3">
        <f>G3*B3</f>
        <v>0.158</v>
      </c>
    </row>
    <row r="4" spans="1:8" x14ac:dyDescent="0.3">
      <c r="A4" s="2" t="s">
        <v>11</v>
      </c>
      <c r="B4">
        <v>3</v>
      </c>
      <c r="C4" t="s">
        <v>12</v>
      </c>
      <c r="D4" t="s">
        <v>13</v>
      </c>
      <c r="E4" t="s">
        <v>8</v>
      </c>
      <c r="F4" s="1" t="s">
        <v>92</v>
      </c>
      <c r="G4" s="3">
        <v>7.0999999999999994E-2</v>
      </c>
      <c r="H4" s="3">
        <f>G4*B4</f>
        <v>0.21299999999999997</v>
      </c>
    </row>
    <row r="5" spans="1:8" x14ac:dyDescent="0.3">
      <c r="A5" s="2" t="s">
        <v>14</v>
      </c>
      <c r="B5">
        <v>1</v>
      </c>
      <c r="C5" t="s">
        <v>15</v>
      </c>
      <c r="D5" t="s">
        <v>7</v>
      </c>
      <c r="E5" t="s">
        <v>8</v>
      </c>
      <c r="F5" s="1" t="s">
        <v>92</v>
      </c>
      <c r="G5" s="3">
        <v>6.8000000000000005E-2</v>
      </c>
      <c r="H5" s="3">
        <f>G5*B5</f>
        <v>6.8000000000000005E-2</v>
      </c>
    </row>
    <row r="6" spans="1:8" x14ac:dyDescent="0.3">
      <c r="A6" s="2" t="s">
        <v>16</v>
      </c>
      <c r="B6">
        <v>1</v>
      </c>
      <c r="C6" t="s">
        <v>17</v>
      </c>
      <c r="D6" t="s">
        <v>18</v>
      </c>
      <c r="E6" t="s">
        <v>8</v>
      </c>
      <c r="F6" s="1" t="s">
        <v>92</v>
      </c>
      <c r="G6" s="3">
        <v>0.27</v>
      </c>
      <c r="H6" s="3">
        <f>G6*B6</f>
        <v>0.27</v>
      </c>
    </row>
    <row r="7" spans="1:8" x14ac:dyDescent="0.3">
      <c r="A7" s="2" t="s">
        <v>19</v>
      </c>
      <c r="B7">
        <v>1</v>
      </c>
      <c r="C7" t="s">
        <v>20</v>
      </c>
      <c r="D7" t="s">
        <v>13</v>
      </c>
      <c r="E7" t="s">
        <v>8</v>
      </c>
      <c r="F7" s="1" t="s">
        <v>92</v>
      </c>
      <c r="G7" s="3">
        <v>0.14000000000000001</v>
      </c>
      <c r="H7" s="3">
        <f>G7*B7</f>
        <v>0.14000000000000001</v>
      </c>
    </row>
    <row r="8" spans="1:8" x14ac:dyDescent="0.3">
      <c r="A8" s="2" t="s">
        <v>21</v>
      </c>
      <c r="B8">
        <v>1</v>
      </c>
      <c r="C8" t="s">
        <v>12</v>
      </c>
      <c r="D8" t="s">
        <v>7</v>
      </c>
      <c r="E8" t="s">
        <v>8</v>
      </c>
      <c r="F8" s="1" t="s">
        <v>92</v>
      </c>
      <c r="G8" s="3">
        <v>8.4000000000000005E-2</v>
      </c>
      <c r="H8" s="3">
        <f>G8*B8</f>
        <v>8.4000000000000005E-2</v>
      </c>
    </row>
    <row r="9" spans="1:8" x14ac:dyDescent="0.3">
      <c r="A9" s="2" t="s">
        <v>22</v>
      </c>
      <c r="B9">
        <v>2</v>
      </c>
      <c r="C9" t="s">
        <v>23</v>
      </c>
      <c r="D9" t="s">
        <v>24</v>
      </c>
      <c r="E9" t="s">
        <v>8</v>
      </c>
      <c r="F9" s="1" t="s">
        <v>92</v>
      </c>
      <c r="G9" s="3">
        <v>1.31</v>
      </c>
      <c r="H9" s="3">
        <f>G9*B9</f>
        <v>2.62</v>
      </c>
    </row>
    <row r="10" spans="1:8" x14ac:dyDescent="0.3">
      <c r="A10" s="2" t="s">
        <v>25</v>
      </c>
      <c r="B10">
        <v>1</v>
      </c>
      <c r="C10" t="s">
        <v>26</v>
      </c>
      <c r="D10" t="s">
        <v>27</v>
      </c>
      <c r="E10" t="s">
        <v>8</v>
      </c>
      <c r="F10" s="1" t="s">
        <v>92</v>
      </c>
      <c r="G10" s="3">
        <f>1.83/5</f>
        <v>0.36599999999999999</v>
      </c>
      <c r="H10" s="3">
        <f>G10*B10</f>
        <v>0.36599999999999999</v>
      </c>
    </row>
    <row r="11" spans="1:8" x14ac:dyDescent="0.3">
      <c r="A11" s="2" t="s">
        <v>28</v>
      </c>
      <c r="B11">
        <v>1</v>
      </c>
      <c r="C11" t="s">
        <v>29</v>
      </c>
      <c r="D11" t="s">
        <v>30</v>
      </c>
      <c r="E11" t="s">
        <v>8</v>
      </c>
      <c r="F11" s="1" t="s">
        <v>92</v>
      </c>
      <c r="G11" s="3">
        <f>1.04/5</f>
        <v>0.20800000000000002</v>
      </c>
      <c r="H11" s="3">
        <f>G11*B11</f>
        <v>0.20800000000000002</v>
      </c>
    </row>
    <row r="12" spans="1:8" ht="28.8" x14ac:dyDescent="0.3">
      <c r="A12" s="2" t="s">
        <v>31</v>
      </c>
      <c r="B12">
        <v>7</v>
      </c>
      <c r="C12" t="s">
        <v>32</v>
      </c>
      <c r="D12" t="s">
        <v>33</v>
      </c>
      <c r="E12" t="s">
        <v>8</v>
      </c>
      <c r="F12" s="1" t="s">
        <v>92</v>
      </c>
      <c r="G12" s="3">
        <f>2.9/25</f>
        <v>0.11599999999999999</v>
      </c>
      <c r="H12" s="3">
        <f>G12*B12</f>
        <v>0.81199999999999994</v>
      </c>
    </row>
    <row r="13" spans="1:8" x14ac:dyDescent="0.3">
      <c r="A13" s="2" t="s">
        <v>34</v>
      </c>
      <c r="B13">
        <v>1</v>
      </c>
      <c r="C13" t="s">
        <v>35</v>
      </c>
      <c r="D13" t="s">
        <v>36</v>
      </c>
      <c r="E13" t="s">
        <v>37</v>
      </c>
      <c r="F13" s="1" t="s">
        <v>95</v>
      </c>
      <c r="G13" s="3">
        <v>2.0099999999999998</v>
      </c>
      <c r="H13" s="3">
        <f>G13*B13</f>
        <v>2.0099999999999998</v>
      </c>
    </row>
    <row r="14" spans="1:8" x14ac:dyDescent="0.3">
      <c r="A14" s="2" t="s">
        <v>38</v>
      </c>
      <c r="B14">
        <v>2</v>
      </c>
      <c r="C14" t="s">
        <v>39</v>
      </c>
      <c r="D14" t="s">
        <v>40</v>
      </c>
      <c r="E14" t="s">
        <v>41</v>
      </c>
      <c r="F14" s="1" t="s">
        <v>92</v>
      </c>
      <c r="G14" s="3">
        <f>8.38/20</f>
        <v>0.41900000000000004</v>
      </c>
      <c r="H14" s="3">
        <f>G14*B14</f>
        <v>0.83800000000000008</v>
      </c>
    </row>
    <row r="15" spans="1:8" x14ac:dyDescent="0.3">
      <c r="A15" s="2" t="s">
        <v>42</v>
      </c>
      <c r="B15">
        <v>2</v>
      </c>
      <c r="C15" t="s">
        <v>43</v>
      </c>
      <c r="D15" t="s">
        <v>44</v>
      </c>
      <c r="E15" t="s">
        <v>45</v>
      </c>
      <c r="F15" s="1" t="s">
        <v>92</v>
      </c>
      <c r="G15" s="3">
        <f>5.09/10</f>
        <v>0.50900000000000001</v>
      </c>
      <c r="H15" s="3">
        <f>G15*B15</f>
        <v>1.018</v>
      </c>
    </row>
    <row r="16" spans="1:8" x14ac:dyDescent="0.3">
      <c r="A16" s="2" t="s">
        <v>46</v>
      </c>
      <c r="B16">
        <v>1</v>
      </c>
      <c r="C16" t="s">
        <v>47</v>
      </c>
      <c r="D16" t="s">
        <v>48</v>
      </c>
      <c r="E16" t="s">
        <v>8</v>
      </c>
      <c r="F16" s="1" t="s">
        <v>95</v>
      </c>
      <c r="G16" s="3">
        <v>2.64</v>
      </c>
      <c r="H16" s="3">
        <f>G16*B16</f>
        <v>2.64</v>
      </c>
    </row>
    <row r="17" spans="1:8" x14ac:dyDescent="0.3">
      <c r="A17" s="2" t="s">
        <v>49</v>
      </c>
      <c r="B17">
        <v>4</v>
      </c>
      <c r="C17" t="s">
        <v>50</v>
      </c>
      <c r="D17" t="s">
        <v>51</v>
      </c>
      <c r="E17" t="s">
        <v>8</v>
      </c>
      <c r="F17" s="1" t="s">
        <v>92</v>
      </c>
      <c r="G17" s="3">
        <v>3.63</v>
      </c>
      <c r="H17" s="3">
        <f>G17*B17</f>
        <v>14.52</v>
      </c>
    </row>
    <row r="18" spans="1:8" x14ac:dyDescent="0.3">
      <c r="A18" s="2" t="s">
        <v>52</v>
      </c>
      <c r="B18">
        <v>2</v>
      </c>
      <c r="C18" t="s">
        <v>53</v>
      </c>
      <c r="D18" t="s">
        <v>54</v>
      </c>
      <c r="E18" t="s">
        <v>55</v>
      </c>
      <c r="F18" t="s">
        <v>96</v>
      </c>
      <c r="G18" s="3"/>
      <c r="H18" s="3">
        <f>G18*B18</f>
        <v>0</v>
      </c>
    </row>
    <row r="19" spans="1:8" x14ac:dyDescent="0.3">
      <c r="A19" s="2" t="s">
        <v>56</v>
      </c>
      <c r="B19">
        <v>2</v>
      </c>
      <c r="C19" t="s">
        <v>57</v>
      </c>
      <c r="D19" t="s">
        <v>54</v>
      </c>
      <c r="E19" t="s">
        <v>55</v>
      </c>
      <c r="F19" t="s">
        <v>96</v>
      </c>
      <c r="G19" s="3"/>
      <c r="H19" s="3">
        <f>G19*B19</f>
        <v>0</v>
      </c>
    </row>
    <row r="20" spans="1:8" ht="28.8" x14ac:dyDescent="0.3">
      <c r="A20" s="2" t="s">
        <v>97</v>
      </c>
      <c r="B20">
        <v>7</v>
      </c>
      <c r="C20" t="s">
        <v>58</v>
      </c>
      <c r="D20" t="s">
        <v>59</v>
      </c>
      <c r="E20" t="s">
        <v>8</v>
      </c>
      <c r="F20" s="1" t="s">
        <v>92</v>
      </c>
      <c r="G20" s="3">
        <v>2.4E-2</v>
      </c>
      <c r="H20" s="3">
        <f>G20*B20</f>
        <v>0.16800000000000001</v>
      </c>
    </row>
    <row r="21" spans="1:8" x14ac:dyDescent="0.3">
      <c r="A21" s="2" t="s">
        <v>60</v>
      </c>
      <c r="B21">
        <v>3</v>
      </c>
      <c r="C21" t="s">
        <v>61</v>
      </c>
      <c r="D21" t="s">
        <v>59</v>
      </c>
      <c r="E21" t="s">
        <v>8</v>
      </c>
      <c r="F21" s="1" t="s">
        <v>92</v>
      </c>
      <c r="G21" s="3">
        <f>0.6/100</f>
        <v>6.0000000000000001E-3</v>
      </c>
      <c r="H21" s="3">
        <f>G21*B21</f>
        <v>1.8000000000000002E-2</v>
      </c>
    </row>
    <row r="22" spans="1:8" ht="28.8" x14ac:dyDescent="0.3">
      <c r="A22" s="2" t="s">
        <v>62</v>
      </c>
      <c r="B22">
        <v>7</v>
      </c>
      <c r="C22" t="s">
        <v>63</v>
      </c>
      <c r="D22" t="s">
        <v>59</v>
      </c>
      <c r="E22" t="s">
        <v>8</v>
      </c>
      <c r="F22" s="1" t="s">
        <v>92</v>
      </c>
      <c r="G22" s="3">
        <v>2.4E-2</v>
      </c>
      <c r="H22" s="3">
        <f>G22*B22</f>
        <v>0.16800000000000001</v>
      </c>
    </row>
    <row r="23" spans="1:8" x14ac:dyDescent="0.3">
      <c r="A23" s="2" t="s">
        <v>64</v>
      </c>
      <c r="B23">
        <v>2</v>
      </c>
      <c r="C23" t="s">
        <v>65</v>
      </c>
      <c r="D23" t="s">
        <v>59</v>
      </c>
      <c r="E23" t="s">
        <v>8</v>
      </c>
      <c r="F23" s="1" t="s">
        <v>95</v>
      </c>
      <c r="G23" s="3">
        <v>9.5000000000000001E-2</v>
      </c>
      <c r="H23" s="3">
        <f>G23*B23</f>
        <v>0.19</v>
      </c>
    </row>
    <row r="24" spans="1:8" x14ac:dyDescent="0.3">
      <c r="A24" s="2" t="s">
        <v>66</v>
      </c>
      <c r="B24">
        <v>3</v>
      </c>
      <c r="C24" t="s">
        <v>67</v>
      </c>
      <c r="D24" t="s">
        <v>59</v>
      </c>
      <c r="E24" t="s">
        <v>8</v>
      </c>
      <c r="F24" s="1" t="s">
        <v>92</v>
      </c>
      <c r="G24" s="3">
        <v>0.184</v>
      </c>
      <c r="H24" s="3">
        <f>G24*B24</f>
        <v>0.55200000000000005</v>
      </c>
    </row>
    <row r="25" spans="1:8" x14ac:dyDescent="0.3">
      <c r="A25" s="2" t="s">
        <v>68</v>
      </c>
      <c r="B25">
        <v>1</v>
      </c>
      <c r="C25" t="s">
        <v>69</v>
      </c>
      <c r="D25" t="s">
        <v>59</v>
      </c>
      <c r="E25" t="s">
        <v>8</v>
      </c>
      <c r="F25" s="1" t="s">
        <v>92</v>
      </c>
      <c r="G25" s="3">
        <v>7.1999999999999995E-2</v>
      </c>
      <c r="H25" s="3">
        <f>G25*B25</f>
        <v>7.1999999999999995E-2</v>
      </c>
    </row>
    <row r="26" spans="1:8" x14ac:dyDescent="0.3">
      <c r="A26" s="2" t="s">
        <v>70</v>
      </c>
      <c r="B26">
        <v>4</v>
      </c>
      <c r="C26" t="s">
        <v>71</v>
      </c>
      <c r="D26" t="s">
        <v>98</v>
      </c>
      <c r="E26" t="s">
        <v>8</v>
      </c>
      <c r="F26" s="1" t="s">
        <v>92</v>
      </c>
      <c r="G26" s="3">
        <f>5.38/10</f>
        <v>0.53800000000000003</v>
      </c>
      <c r="H26" s="3">
        <f>G26*B26</f>
        <v>2.1520000000000001</v>
      </c>
    </row>
    <row r="27" spans="1:8" x14ac:dyDescent="0.3">
      <c r="A27" s="2" t="s">
        <v>72</v>
      </c>
      <c r="B27">
        <v>1</v>
      </c>
      <c r="C27" t="s">
        <v>73</v>
      </c>
      <c r="D27" t="s">
        <v>74</v>
      </c>
      <c r="F27" s="1" t="s">
        <v>92</v>
      </c>
      <c r="G27" s="3">
        <v>5.42</v>
      </c>
      <c r="H27" s="3">
        <f>G27*B27</f>
        <v>5.42</v>
      </c>
    </row>
    <row r="28" spans="1:8" x14ac:dyDescent="0.3">
      <c r="A28" s="2" t="s">
        <v>75</v>
      </c>
      <c r="B28">
        <v>2</v>
      </c>
      <c r="C28" t="s">
        <v>76</v>
      </c>
      <c r="D28" t="s">
        <v>77</v>
      </c>
      <c r="E28" t="s">
        <v>78</v>
      </c>
      <c r="F28" s="1" t="s">
        <v>92</v>
      </c>
      <c r="G28" s="3">
        <f>13.5/25</f>
        <v>0.54</v>
      </c>
      <c r="H28" s="3">
        <f>G28*B28</f>
        <v>1.08</v>
      </c>
    </row>
    <row r="29" spans="1:8" x14ac:dyDescent="0.3">
      <c r="A29" s="2" t="s">
        <v>79</v>
      </c>
      <c r="B29">
        <v>1</v>
      </c>
      <c r="C29" t="s">
        <v>80</v>
      </c>
      <c r="D29" t="s">
        <v>81</v>
      </c>
      <c r="E29" t="s">
        <v>82</v>
      </c>
      <c r="F29" s="1" t="s">
        <v>95</v>
      </c>
      <c r="G29" s="3">
        <v>3.38</v>
      </c>
      <c r="H29" s="3">
        <f>G29*B29</f>
        <v>3.38</v>
      </c>
    </row>
    <row r="30" spans="1:8" x14ac:dyDescent="0.3">
      <c r="A30" s="2" t="s">
        <v>83</v>
      </c>
      <c r="B30">
        <v>1</v>
      </c>
      <c r="C30" t="s">
        <v>84</v>
      </c>
      <c r="D30" t="s">
        <v>85</v>
      </c>
      <c r="E30" t="s">
        <v>86</v>
      </c>
      <c r="F30" s="1" t="s">
        <v>92</v>
      </c>
      <c r="G30" s="3">
        <f>2.52/5</f>
        <v>0.504</v>
      </c>
      <c r="H30" s="3">
        <f>G30*B30</f>
        <v>0.504</v>
      </c>
    </row>
    <row r="31" spans="1:8" x14ac:dyDescent="0.3">
      <c r="A31" s="2" t="s">
        <v>87</v>
      </c>
      <c r="B31">
        <v>1</v>
      </c>
      <c r="C31" t="s">
        <v>88</v>
      </c>
      <c r="D31" t="s">
        <v>89</v>
      </c>
      <c r="E31" t="s">
        <v>90</v>
      </c>
      <c r="F31" s="1" t="s">
        <v>92</v>
      </c>
      <c r="G31" s="3">
        <v>5.04</v>
      </c>
      <c r="H31" s="3">
        <f>G31*B31</f>
        <v>5.04</v>
      </c>
    </row>
    <row r="32" spans="1:8" x14ac:dyDescent="0.3">
      <c r="A32" s="2" t="s">
        <v>100</v>
      </c>
      <c r="B32">
        <v>1</v>
      </c>
      <c r="C32" t="s">
        <v>101</v>
      </c>
      <c r="D32" t="s">
        <v>102</v>
      </c>
      <c r="F32" t="s">
        <v>103</v>
      </c>
      <c r="G32" s="4">
        <v>45.87</v>
      </c>
      <c r="H32" s="3">
        <f>G32*B32</f>
        <v>45.87</v>
      </c>
    </row>
    <row r="33" spans="7:8" x14ac:dyDescent="0.3">
      <c r="G33" s="3" t="s">
        <v>99</v>
      </c>
      <c r="H33" s="3">
        <f>SUM(H2:H32)</f>
        <v>91.406999999999996</v>
      </c>
    </row>
    <row r="34" spans="7:8" x14ac:dyDescent="0.3">
      <c r="G34" s="3"/>
    </row>
  </sheetData>
  <hyperlinks>
    <hyperlink ref="F2" r:id="rId1" xr:uid="{F56F6733-EBB2-4D21-95EA-6D27680EC899}"/>
    <hyperlink ref="F3" r:id="rId2" xr:uid="{0BF84ABB-3E86-4E56-9E7F-65016D64F9BA}"/>
    <hyperlink ref="F4" r:id="rId3" xr:uid="{CB46797F-FDE2-4671-849B-539303BD4C00}"/>
    <hyperlink ref="F5" r:id="rId4" xr:uid="{581D7F09-5774-4864-A8A5-C42B41F9EC5C}"/>
    <hyperlink ref="F6" r:id="rId5" xr:uid="{CD5BAE2F-85ED-4AB9-A485-36F568FC2F79}"/>
    <hyperlink ref="F7" r:id="rId6" xr:uid="{9F051084-4DDA-420B-8572-507B9986C119}"/>
    <hyperlink ref="F8" r:id="rId7" xr:uid="{AFAA6013-A9BE-4DD3-BF4D-F473ABBC0FBD}"/>
    <hyperlink ref="F9" r:id="rId8" xr:uid="{9F717B76-E094-4512-A789-6F1D24C78A06}"/>
    <hyperlink ref="F10" r:id="rId9" xr:uid="{7B534774-405B-42F3-A6A0-45D23F89AAEC}"/>
    <hyperlink ref="F11" r:id="rId10" xr:uid="{9B5A9C96-5A70-46EF-B8F1-3FB64D74BE2A}"/>
    <hyperlink ref="F12" r:id="rId11" xr:uid="{72033405-60EA-4F91-B4AF-A7DD098C7EE1}"/>
    <hyperlink ref="F13" r:id="rId12" xr:uid="{0CF3F298-5FD4-4B97-B17B-00EA6C42BE9A}"/>
    <hyperlink ref="F14" r:id="rId13" xr:uid="{74DDC9FD-4943-4433-A114-FE62C3297B4F}"/>
    <hyperlink ref="F15" r:id="rId14" xr:uid="{D63871D9-FBD2-40D6-9353-C7CC0B2A56CF}"/>
    <hyperlink ref="F17" r:id="rId15" xr:uid="{769B2FF9-15E0-4507-9E67-31DF9F06B002}"/>
    <hyperlink ref="F16" r:id="rId16" xr:uid="{693F1C57-F003-4DEA-BEDA-C59FAB984336}"/>
    <hyperlink ref="F20" r:id="rId17" xr:uid="{7FAAF882-F462-4C85-80B3-968285F373AF}"/>
    <hyperlink ref="F21" r:id="rId18" xr:uid="{0F556BA0-C37D-4CD1-86FE-0E5255F0D783}"/>
    <hyperlink ref="F22" r:id="rId19" xr:uid="{13B1832E-0100-449C-907F-E72CDE5E2463}"/>
    <hyperlink ref="F23" r:id="rId20" xr:uid="{74BECCBF-34A1-4B6F-B6B6-4769EF9B1530}"/>
    <hyperlink ref="F24" r:id="rId21" xr:uid="{BD2906FF-BB8E-4C78-B92E-FB6FF636235E}"/>
    <hyperlink ref="F25" r:id="rId22" xr:uid="{C23DEE1C-1CBE-46D6-963F-87F2346BCCB0}"/>
    <hyperlink ref="F26" r:id="rId23" xr:uid="{9496D54B-E662-4E49-8E9B-A2E26BBD561E}"/>
    <hyperlink ref="F27" r:id="rId24" xr:uid="{942FDCC1-63AA-4B92-8EAA-604540CE7E0C}"/>
    <hyperlink ref="F28" r:id="rId25" xr:uid="{7448D153-C41F-4A7F-8034-90A8B0654288}"/>
    <hyperlink ref="F29" r:id="rId26" xr:uid="{7765B7EA-572D-4A69-8F52-3F0535B63201}"/>
    <hyperlink ref="F30" r:id="rId27" xr:uid="{C42829EF-AF10-41A4-BCD5-4D9EBC0D39BE}"/>
    <hyperlink ref="F31" r:id="rId28" xr:uid="{25C8D79E-40FF-47F9-BA49-86A2B894BA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Bradley Port</cp:lastModifiedBy>
  <dcterms:created xsi:type="dcterms:W3CDTF">2025-08-26T14:30:53Z</dcterms:created>
  <dcterms:modified xsi:type="dcterms:W3CDTF">2025-08-26T15:29:40Z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9eaf13-f528-470e-bf6b-38b666617431_Enabled">
    <vt:lpwstr>true</vt:lpwstr>
  </property>
  <property fmtid="{D5CDD505-2E9C-101B-9397-08002B2CF9AE}" pid="3" name="MSIP_Label_289eaf13-f528-470e-bf6b-38b666617431_SetDate">
    <vt:lpwstr>2025-08-26T15:13:52Z</vt:lpwstr>
  </property>
  <property fmtid="{D5CDD505-2E9C-101B-9397-08002B2CF9AE}" pid="4" name="MSIP_Label_289eaf13-f528-470e-bf6b-38b666617431_Method">
    <vt:lpwstr>Standard</vt:lpwstr>
  </property>
  <property fmtid="{D5CDD505-2E9C-101B-9397-08002B2CF9AE}" pid="5" name="MSIP_Label_289eaf13-f528-470e-bf6b-38b666617431_Name">
    <vt:lpwstr>Proprietary</vt:lpwstr>
  </property>
  <property fmtid="{D5CDD505-2E9C-101B-9397-08002B2CF9AE}" pid="6" name="MSIP_Label_289eaf13-f528-470e-bf6b-38b666617431_SiteId">
    <vt:lpwstr>4c087f80-1e07-4f72-9e41-d7d9748d0f4c</vt:lpwstr>
  </property>
  <property fmtid="{D5CDD505-2E9C-101B-9397-08002B2CF9AE}" pid="7" name="MSIP_Label_289eaf13-f528-470e-bf6b-38b666617431_ActionId">
    <vt:lpwstr>aa2f1743-4c57-44b2-8bd8-6481a1359189</vt:lpwstr>
  </property>
  <property fmtid="{D5CDD505-2E9C-101B-9397-08002B2CF9AE}" pid="8" name="MSIP_Label_289eaf13-f528-470e-bf6b-38b666617431_ContentBits">
    <vt:lpwstr>0</vt:lpwstr>
  </property>
  <property fmtid="{D5CDD505-2E9C-101B-9397-08002B2CF9AE}" pid="9" name="MSIP_Label_289eaf13-f528-470e-bf6b-38b666617431_Tag">
    <vt:lpwstr>10, 3, 0, 1</vt:lpwstr>
  </property>
</Properties>
</file>